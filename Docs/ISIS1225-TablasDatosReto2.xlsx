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uniandes-my.sharepoint.com/personal/j_gomezs2_uniandes_edu_co/Documents/Semestre 4/EDA/R2/"/>
    </mc:Choice>
  </mc:AlternateContent>
  <xr:revisionPtr revIDLastSave="225" documentId="13_ncr:1_{4A5DBDDE-59DE-4983-A5DD-216DD4370536}" xr6:coauthVersionLast="47" xr6:coauthVersionMax="47" xr10:uidLastSave="{2A140D79-BDD5-407C-868D-D753127E58D7}"/>
  <bookViews>
    <workbookView xWindow="-110" yWindow="-110" windowWidth="23260" windowHeight="14860" xr2:uid="{D82936D8-D2C9-4EB2-9CBC-3665F65B95FD}"/>
  </bookViews>
  <sheets>
    <sheet name="01-Data Req. 4" sheetId="1" r:id="rId1"/>
    <sheet name="02-Gráfica Req. 4" sheetId="8" r:id="rId2"/>
    <sheet name="03-Análisis Req. 4"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9" i="1"/>
  <c r="H20" i="1"/>
  <c r="H21" i="1"/>
  <c r="H22" i="1"/>
  <c r="H23" i="1"/>
  <c r="H24" i="1"/>
  <c r="H25" i="1"/>
  <c r="H26" i="1"/>
  <c r="H17" i="1"/>
  <c r="H4" i="1"/>
  <c r="H5" i="1"/>
  <c r="H6" i="1"/>
  <c r="H7" i="1"/>
  <c r="H8" i="1"/>
  <c r="H9" i="1"/>
  <c r="H10" i="1"/>
  <c r="H11" i="1"/>
  <c r="H12" i="1"/>
  <c r="H3" i="1"/>
  <c r="B17" i="1"/>
  <c r="B18" i="1"/>
  <c r="B19" i="1"/>
  <c r="B20" i="1"/>
  <c r="B21" i="1"/>
  <c r="B22" i="1"/>
  <c r="B23" i="1"/>
  <c r="B24" i="1"/>
  <c r="B25" i="1"/>
  <c r="B26" i="1"/>
  <c r="B3" i="1"/>
  <c r="B4" i="1"/>
  <c r="B5" i="1"/>
  <c r="B6" i="1"/>
  <c r="B7" i="1"/>
  <c r="B8" i="1"/>
  <c r="B9" i="1"/>
  <c r="B10" i="1"/>
  <c r="B11" i="1"/>
  <c r="B12" i="1"/>
</calcChain>
</file>

<file path=xl/sharedStrings.xml><?xml version="1.0" encoding="utf-8"?>
<sst xmlns="http://schemas.openxmlformats.org/spreadsheetml/2006/main" count="29" uniqueCount="27">
  <si>
    <t>TIEMPOS PARA REQUERIMIENTO 4 - RETO 1</t>
  </si>
  <si>
    <t>Porcentaje de la muestra</t>
  </si>
  <si>
    <t>Tamaño de la muestra</t>
  </si>
  <si>
    <t>Tiempo1</t>
  </si>
  <si>
    <t>Tiempo2</t>
  </si>
  <si>
    <t>Tiempo3</t>
  </si>
  <si>
    <t>Tiempo4</t>
  </si>
  <si>
    <t>Tiempo5</t>
  </si>
  <si>
    <t>Tiempo promedio (Reto 1)</t>
  </si>
  <si>
    <t>TIEMPOS PARA REQUERIMIENTO 4 - RETO 2</t>
  </si>
  <si>
    <t>Tiempo 1</t>
  </si>
  <si>
    <t>Tiempo 2</t>
  </si>
  <si>
    <t>Tiempo 3</t>
  </si>
  <si>
    <t>Tiempo 4</t>
  </si>
  <si>
    <t>Tiempo 5</t>
  </si>
  <si>
    <t>Tiempo promedio (Reto 2)</t>
  </si>
  <si>
    <t>Preguntas de análisis</t>
  </si>
  <si>
    <t>Respuestas</t>
  </si>
  <si>
    <t>Al analizar los tiempos promedio obtenidos para el requerimiento 4 en el Reto 1 y el Reto 2, ¿Qué diferencias se observan en el comportamiento a medida que aumenta el tamaño del archivo .csv? Explicar qué indican esos resultados sobre el rendimiento temporal de cada estructura de datos.</t>
  </si>
  <si>
    <t>Comparar la complejidad temporal teórica del requerimiento 4 implementado con las estructuras de datos del reto 1 frente a la implementación con tablas hash. ¿Teóricamente sobre cual Estructura de Datos se tiene mejor eficiencia temporal? ¿Los resultados experimentales demuestran el mismo resultado?</t>
  </si>
  <si>
    <t>A partir del análisis teórico y experimental realizado, ¿qué conclusión puede obtener sobre el impacto de la estructura de datos en el rendimiento de un algoritmo? ¿Es importante la selección de una estructura de datos específica según el tipo de requerimiento?</t>
  </si>
  <si>
    <t>AMD</t>
  </si>
  <si>
    <t>RTX 40 50</t>
  </si>
  <si>
    <t>usando</t>
  </si>
  <si>
    <t>La selección de la estructura de datos tiene impacto directo y medible en el rendimiento. Aunque ambas implementaciones resuelven el mismo problema correctamente, el hash map reduce el tiempo a la mitad en la práctica. Esto demuestra que la eficiencia de un algoritmo no depende solo de su lógica sino de la estructura subyacente que usa para acceder a los datos. Para requerimientos de búsqueda y filtrado por llave específica, una tabla de hash es significativamente más adecuada que una lista lineal.</t>
  </si>
  <si>
    <t xml:space="preserve">Ambas implementaciones crecen linealmente con el tamaño del dataset como lo confirman las líneas de tendencia con R² &gt; 0.98. Sin embargo el Reto 2 (hash map) es consistentemente más rápido: a 100,000 registros el Reto 1 tarda 113ms vs 50.9ms del Reto 2, aproximadamente el doble. La brecha se mantiene proporcional en todos los tamaños. Esto ocurre porque aunque ambas son lineales en n, el Reto 2 opera sobre un subconjunto k de equipos con el gpu_model dado (k &lt;&lt; n), mientras que el Reto 1 recorre el dataset completo. Como k crece proporcionalmente con n, ambas curvas son lineales, pero el Reto 2 tiene una constante menor, aproximadamente 1/G donde G es el número de gpu_models distintos en el dataset.
</t>
  </si>
  <si>
    <t>El Reto 2 no es estrictamente O(1), realmente es O(k + m log m) donde k es el número de equipos con ese gpu_model y m los que además cumplen el filtro de cpu_brand. Como k crece linealmente con n, la curva experimental también es lineal. La ventaja sobre el Reto 1 no es en la forma de la curva sino en la constante, el Reto 2 evita recorrer los n registros completos y opera solo sobre el subconjunto k, que en promedio es n/G donde G es el número de gpu_models distintos. Eso explica el factor ~2x observado experimentalmente.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</si>
</sst>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Dax-Regular"/>
    </font>
    <font>
      <b/>
      <sz val="11"/>
      <color rgb="FF000000"/>
      <name val="Dax-Regular"/>
    </font>
    <font>
      <b/>
      <sz val="11"/>
      <color theme="1"/>
      <name val="Dax-Regular"/>
    </font>
    <font>
      <sz val="11"/>
      <color theme="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69E76"/>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10" fontId="1" fillId="0" borderId="0" xfId="0" applyNumberFormat="1" applyFont="1" applyAlignment="1">
      <alignment horizontal="center" vertical="center" wrapText="1"/>
    </xf>
    <xf numFmtId="2" fontId="1"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xf numFmtId="0" fontId="4" fillId="0" borderId="0" xfId="0" applyFont="1"/>
    <xf numFmtId="0" fontId="0" fillId="0" borderId="1" xfId="0" applyBorder="1"/>
    <xf numFmtId="0" fontId="0" fillId="4" borderId="1" xfId="0" applyFill="1" applyBorder="1" applyAlignment="1">
      <alignment horizontal="left" vertical="center" wrapText="1"/>
    </xf>
    <xf numFmtId="0" fontId="5" fillId="2" borderId="0" xfId="0" applyFont="1" applyFill="1" applyAlignment="1">
      <alignment horizontal="center" vertical="center"/>
    </xf>
    <xf numFmtId="0" fontId="5" fillId="3" borderId="0" xfId="0" applyFont="1" applyFill="1" applyAlignment="1">
      <alignment horizontal="center"/>
    </xf>
    <xf numFmtId="0" fontId="0" fillId="0" borderId="1" xfId="0" applyBorder="1" applyAlignment="1">
      <alignment vertical="center" wrapText="1"/>
    </xf>
    <xf numFmtId="0" fontId="1" fillId="0" borderId="0" xfId="0" applyFont="1"/>
  </cellXfs>
  <cellStyles count="1">
    <cellStyle name="Normal" xfId="0" builtinId="0"/>
  </cellStyles>
  <dxfs count="20">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justify"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69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Comparación de tiempos de ejecucion para</a:t>
            </a:r>
            <a:r>
              <a:rPr lang="en-US" b="1" baseline="0"/>
              <a:t> el Requerimiento 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'01-Data Req. 4'!$H$2</c:f>
              <c:strCache>
                <c:ptCount val="1"/>
                <c:pt idx="0">
                  <c:v>Tiempo promedio (Reto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63811854896437"/>
                  <c:y val="-3.294520003181420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4'!$A$3:$A$14</c:f>
              <c:numCache>
                <c:formatCode>0.00%</c:formatCode>
                <c:ptCount val="12"/>
                <c:pt idx="0">
                  <c:v>0.1</c:v>
                </c:pt>
                <c:pt idx="1">
                  <c:v>0.2</c:v>
                </c:pt>
                <c:pt idx="2">
                  <c:v>0.3</c:v>
                </c:pt>
                <c:pt idx="3">
                  <c:v>0.4</c:v>
                </c:pt>
                <c:pt idx="4">
                  <c:v>0.5</c:v>
                </c:pt>
                <c:pt idx="5">
                  <c:v>0.6</c:v>
                </c:pt>
                <c:pt idx="6">
                  <c:v>0.7</c:v>
                </c:pt>
                <c:pt idx="7">
                  <c:v>0.8</c:v>
                </c:pt>
                <c:pt idx="8">
                  <c:v>0.9</c:v>
                </c:pt>
                <c:pt idx="9">
                  <c:v>1</c:v>
                </c:pt>
              </c:numCache>
            </c:numRef>
          </c:xVal>
          <c:yVal>
            <c:numRef>
              <c:f>'01-Data Req. 4'!$C$3:$C$14</c:f>
              <c:numCache>
                <c:formatCode>0.00</c:formatCode>
                <c:ptCount val="12"/>
                <c:pt idx="0">
                  <c:v>12.92</c:v>
                </c:pt>
                <c:pt idx="1">
                  <c:v>26.03</c:v>
                </c:pt>
                <c:pt idx="2">
                  <c:v>38.75</c:v>
                </c:pt>
                <c:pt idx="3">
                  <c:v>46.66</c:v>
                </c:pt>
                <c:pt idx="4">
                  <c:v>60.09</c:v>
                </c:pt>
                <c:pt idx="5">
                  <c:v>68.17</c:v>
                </c:pt>
                <c:pt idx="6">
                  <c:v>79.874399999999994</c:v>
                </c:pt>
                <c:pt idx="7">
                  <c:v>85.88</c:v>
                </c:pt>
                <c:pt idx="8">
                  <c:v>99.42</c:v>
                </c:pt>
                <c:pt idx="9">
                  <c:v>113.18</c:v>
                </c:pt>
              </c:numCache>
            </c:numRef>
          </c:yVal>
          <c:smooth val="1"/>
          <c:extLst>
            <c:ext xmlns:c16="http://schemas.microsoft.com/office/drawing/2014/chart" uri="{C3380CC4-5D6E-409C-BE32-E72D297353CC}">
              <c16:uniqueId val="{00000000-B3D4-4A09-BEFF-C643A08A798B}"/>
            </c:ext>
          </c:extLst>
        </c:ser>
        <c:ser>
          <c:idx val="1"/>
          <c:order val="1"/>
          <c:tx>
            <c:strRef>
              <c:f>'01-Data Req. 4'!$H$16</c:f>
              <c:strCache>
                <c:ptCount val="1"/>
                <c:pt idx="0">
                  <c:v>Tiempo promedio (Reto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593553005287829E-2"/>
                  <c:y val="0.12376727909011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4'!$A$17:$A$26</c:f>
              <c:numCache>
                <c:formatCode>0.00%</c:formatCode>
                <c:ptCount val="10"/>
                <c:pt idx="0">
                  <c:v>0.1</c:v>
                </c:pt>
                <c:pt idx="1">
                  <c:v>0.2</c:v>
                </c:pt>
                <c:pt idx="2">
                  <c:v>0.3</c:v>
                </c:pt>
                <c:pt idx="3">
                  <c:v>0.4</c:v>
                </c:pt>
                <c:pt idx="4">
                  <c:v>0.5</c:v>
                </c:pt>
                <c:pt idx="5">
                  <c:v>0.6</c:v>
                </c:pt>
                <c:pt idx="6">
                  <c:v>0.7</c:v>
                </c:pt>
                <c:pt idx="7">
                  <c:v>0.8</c:v>
                </c:pt>
                <c:pt idx="8">
                  <c:v>0.9</c:v>
                </c:pt>
                <c:pt idx="9">
                  <c:v>1</c:v>
                </c:pt>
              </c:numCache>
            </c:numRef>
          </c:xVal>
          <c:yVal>
            <c:numRef>
              <c:f>'01-Data Req. 4'!$H$17:$H$26</c:f>
              <c:numCache>
                <c:formatCode>General</c:formatCode>
                <c:ptCount val="10"/>
                <c:pt idx="0">
                  <c:v>2.0640000000000001</c:v>
                </c:pt>
                <c:pt idx="1">
                  <c:v>5.0019999999999998</c:v>
                </c:pt>
                <c:pt idx="2">
                  <c:v>10.802000000000001</c:v>
                </c:pt>
                <c:pt idx="3">
                  <c:v>18.368000000000002</c:v>
                </c:pt>
                <c:pt idx="4">
                  <c:v>24.984000000000002</c:v>
                </c:pt>
                <c:pt idx="5">
                  <c:v>32.287999999999997</c:v>
                </c:pt>
                <c:pt idx="6">
                  <c:v>37.291999999999994</c:v>
                </c:pt>
                <c:pt idx="7">
                  <c:v>41.784000000000006</c:v>
                </c:pt>
                <c:pt idx="8">
                  <c:v>43.344000000000001</c:v>
                </c:pt>
                <c:pt idx="9">
                  <c:v>50.936</c:v>
                </c:pt>
              </c:numCache>
            </c:numRef>
          </c:yVal>
          <c:smooth val="1"/>
          <c:extLst>
            <c:ext xmlns:c16="http://schemas.microsoft.com/office/drawing/2014/chart" uri="{C3380CC4-5D6E-409C-BE32-E72D297353CC}">
              <c16:uniqueId val="{00000001-B3D4-4A09-BEFF-C643A08A798B}"/>
            </c:ext>
          </c:extLst>
        </c:ser>
        <c:dLbls>
          <c:showLegendKey val="0"/>
          <c:showVal val="0"/>
          <c:showCatName val="0"/>
          <c:showSerName val="0"/>
          <c:showPercent val="0"/>
          <c:showBubbleSize val="0"/>
        </c:dLbls>
        <c:axId val="1328118000"/>
        <c:axId val="1328121328"/>
      </c:scatterChart>
      <c:valAx>
        <c:axId val="132811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Tamaño</a:t>
                </a:r>
                <a:r>
                  <a:rPr lang="en-US" b="1" baseline="0"/>
                  <a:t> de la muestra [Porcentaje]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21328"/>
        <c:crosses val="autoZero"/>
        <c:crossBetween val="midCat"/>
      </c:valAx>
      <c:valAx>
        <c:axId val="13281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 de Ejecución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8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4D373F-B89D-476A-916E-D6B8B50B0AC1}">
  <sheetPr>
    <tabColor theme="9" tint="0.59999389629810485"/>
  </sheetPr>
  <sheetViews>
    <sheetView zoomScale="85"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E62ACB43-BF23-44E0-A2C1-1BE0D48E22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D0253-75B0-4C0B-8972-D03303899249}" name="Table1" displayName="Table1" ref="A2:H12" totalsRowShown="0" headerRowDxfId="19" dataDxfId="18">
  <autoFilter ref="A2:H12" xr:uid="{072D0253-75B0-4C0B-8972-D0330389924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7AF2A2F-BC4B-404E-9B8B-256DA178E68B}" name="Porcentaje de la muestra" dataDxfId="17"/>
    <tableColumn id="2" xr3:uid="{23CECC62-35E0-466E-9502-4F5CC2E6F7A7}" name="Tamaño de la muestra" dataDxfId="16">
      <calculatedColumnFormula>Table1[[#This Row],[Porcentaje de la muestra]]*100000</calculatedColumnFormula>
    </tableColumn>
    <tableColumn id="6" xr3:uid="{1D7A89FD-B4C8-4B63-8144-3D2813CE09D2}" name="Tiempo1" dataDxfId="15"/>
    <tableColumn id="7" xr3:uid="{694553F5-E3D6-4DD7-9F82-2F775378069C}" name="Tiempo2" dataDxfId="14"/>
    <tableColumn id="10" xr3:uid="{DC77D538-1BF6-4CC8-A666-55E3AECB1094}" name="Tiempo3" dataDxfId="13"/>
    <tableColumn id="12" xr3:uid="{55DDEB9A-1D37-47AF-A22B-DCDED00B45F1}" name="Tiempo4" dataDxfId="12"/>
    <tableColumn id="13" xr3:uid="{18627A96-D9BD-4918-AC15-00FEC9F6C145}" name="Tiempo5" dataDxfId="11"/>
    <tableColumn id="3" xr3:uid="{19B1D273-887B-4392-991E-015D36D99E5B}" name="Tiempo promedio (Reto 1)" dataDxfId="10">
      <calculatedColumnFormula>AVERAGE(Table1[[#This Row],[Tiempo1]:[Tiempo5]])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5EFFA4-2B65-46C5-8257-6884800B9577}" name="Table13" displayName="Table13" ref="A16:H26" totalsRowShown="0" headerRowDxfId="9" dataDxfId="8">
  <autoFilter ref="A16:H26" xr:uid="{5C24B5A8-1B8E-4092-B34A-66FF5413D1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584851-71BC-4FF5-B248-C3F46BA653AF}" name="Porcentaje de la muestra" dataDxfId="7"/>
    <tableColumn id="2" xr3:uid="{4F9B7329-040C-4D35-96E7-B9181424DC65}" name="Tamaño de la muestra" dataDxfId="6">
      <calculatedColumnFormula>Table13[[#This Row],[Porcentaje de la muestra]]*100000</calculatedColumnFormula>
    </tableColumn>
    <tableColumn id="6" xr3:uid="{73B8EDF2-52F3-4761-86EF-C7C71418F742}" name="Tiempo 1" dataDxfId="5"/>
    <tableColumn id="7" xr3:uid="{1E7534A5-4635-46DD-9452-9E4AA3B877EC}" name="Tiempo 2" dataDxfId="4"/>
    <tableColumn id="10" xr3:uid="{24936BC1-C83A-4407-814F-11214A4E9891}" name="Tiempo 3" dataDxfId="3"/>
    <tableColumn id="12" xr3:uid="{EBD8DFA2-3D20-4288-8498-555F04A9538F}" name="Tiempo 4" dataDxfId="2"/>
    <tableColumn id="13" xr3:uid="{44A85E6E-039D-4504-AD1E-8FF29C055C05}" name="Tiempo 5" dataDxfId="1"/>
    <tableColumn id="3" xr3:uid="{BDA028DF-4CED-4928-B040-96AD8F8A43EB}" name="Tiempo promedio (Reto 2)" dataDxfId="0">
      <calculatedColumnFormula>AVERAGE(Table13[[#This Row],[Tiempo 1]:[Tiempo 5]])</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4742-4EBB-4241-AC8A-0E5F24F7BB7B}">
  <dimension ref="A1:J26"/>
  <sheetViews>
    <sheetView tabSelected="1" zoomScale="83" zoomScaleNormal="130" workbookViewId="0">
      <selection activeCell="J10" sqref="J10"/>
    </sheetView>
  </sheetViews>
  <sheetFormatPr defaultColWidth="8.81640625" defaultRowHeight="14.5"/>
  <cols>
    <col min="1" max="1" width="19.1796875" style="1" bestFit="1" customWidth="1"/>
    <col min="2" max="2" width="25.54296875" style="1" bestFit="1" customWidth="1"/>
    <col min="3" max="3" width="9.54296875" style="1" bestFit="1" customWidth="1"/>
    <col min="4" max="4" width="10.453125" style="1" bestFit="1" customWidth="1"/>
    <col min="5" max="5" width="10.453125" style="6" bestFit="1" customWidth="1"/>
    <col min="6" max="7" width="10.453125" bestFit="1" customWidth="1"/>
    <col min="8" max="12" width="24.453125" customWidth="1"/>
  </cols>
  <sheetData>
    <row r="1" spans="1:10" ht="14.25" customHeight="1">
      <c r="C1" s="9" t="s">
        <v>0</v>
      </c>
      <c r="D1" s="9"/>
      <c r="E1" s="9"/>
      <c r="F1" s="9"/>
      <c r="G1" s="9"/>
      <c r="H1" s="9"/>
    </row>
    <row r="2" spans="1:10" s="5" customFormat="1" ht="28">
      <c r="A2" s="4" t="s">
        <v>1</v>
      </c>
      <c r="B2" s="4" t="s">
        <v>2</v>
      </c>
      <c r="C2" s="4" t="s">
        <v>3</v>
      </c>
      <c r="D2" s="4" t="s">
        <v>4</v>
      </c>
      <c r="E2" s="4" t="s">
        <v>5</v>
      </c>
      <c r="F2" s="4" t="s">
        <v>6</v>
      </c>
      <c r="G2" s="4" t="s">
        <v>7</v>
      </c>
      <c r="H2" s="4" t="s">
        <v>8</v>
      </c>
    </row>
    <row r="3" spans="1:10" s="5" customFormat="1" ht="14">
      <c r="A3" s="2">
        <v>0.1</v>
      </c>
      <c r="B3" s="3">
        <f>Table1[[#This Row],[Porcentaje de la muestra]]*100000</f>
        <v>10000</v>
      </c>
      <c r="C3" s="3">
        <v>12.92</v>
      </c>
      <c r="D3" s="3">
        <v>15.32</v>
      </c>
      <c r="E3" s="3">
        <v>13.93</v>
      </c>
      <c r="F3" s="3">
        <v>14.41</v>
      </c>
      <c r="G3" s="3">
        <v>13.85</v>
      </c>
      <c r="H3" s="4">
        <f>AVERAGE(Table1[[#This Row],[Tiempo1]:[Tiempo5]])</f>
        <v>14.085999999999999</v>
      </c>
      <c r="J3" s="5" t="s">
        <v>23</v>
      </c>
    </row>
    <row r="4" spans="1:10" s="5" customFormat="1" ht="14">
      <c r="A4" s="2">
        <v>0.2</v>
      </c>
      <c r="B4" s="3">
        <f>Table1[[#This Row],[Porcentaje de la muestra]]*100000</f>
        <v>20000</v>
      </c>
      <c r="C4" s="3">
        <v>26.03</v>
      </c>
      <c r="D4" s="3">
        <v>24.65</v>
      </c>
      <c r="E4" s="3">
        <v>24.4</v>
      </c>
      <c r="F4" s="3">
        <v>26.62</v>
      </c>
      <c r="G4" s="3">
        <v>27.06</v>
      </c>
      <c r="H4" s="4">
        <f>AVERAGE(Table1[[#This Row],[Tiempo1]:[Tiempo5]])</f>
        <v>25.751999999999999</v>
      </c>
      <c r="J4" s="12" t="s">
        <v>21</v>
      </c>
    </row>
    <row r="5" spans="1:10">
      <c r="A5" s="2">
        <v>0.3</v>
      </c>
      <c r="B5" s="3">
        <f>Table1[[#This Row],[Porcentaje de la muestra]]*100000</f>
        <v>30000</v>
      </c>
      <c r="C5" s="3">
        <v>38.75</v>
      </c>
      <c r="D5" s="3">
        <v>36.270000000000003</v>
      </c>
      <c r="E5" s="3">
        <v>40.020000000000003</v>
      </c>
      <c r="F5" s="3">
        <v>39.94</v>
      </c>
      <c r="G5" s="3">
        <v>40.15</v>
      </c>
      <c r="H5" s="4">
        <f>AVERAGE(Table1[[#This Row],[Tiempo1]:[Tiempo5]])</f>
        <v>39.026000000000003</v>
      </c>
      <c r="J5" t="s">
        <v>22</v>
      </c>
    </row>
    <row r="6" spans="1:10">
      <c r="A6" s="2">
        <v>0.4</v>
      </c>
      <c r="B6" s="3">
        <f>Table1[[#This Row],[Porcentaje de la muestra]]*100000</f>
        <v>40000</v>
      </c>
      <c r="C6" s="3">
        <v>46.66</v>
      </c>
      <c r="D6" s="3">
        <v>52.53</v>
      </c>
      <c r="E6" s="3">
        <v>51.09</v>
      </c>
      <c r="F6" s="3">
        <v>47.49</v>
      </c>
      <c r="G6" s="3">
        <v>52.55</v>
      </c>
      <c r="H6" s="4">
        <f>AVERAGE(Table1[[#This Row],[Tiempo1]:[Tiempo5]])</f>
        <v>50.064</v>
      </c>
    </row>
    <row r="7" spans="1:10">
      <c r="A7" s="2">
        <v>0.5</v>
      </c>
      <c r="B7" s="3">
        <f>Table1[[#This Row],[Porcentaje de la muestra]]*100000</f>
        <v>50000</v>
      </c>
      <c r="C7" s="3">
        <v>60.09</v>
      </c>
      <c r="D7" s="3">
        <v>57.25</v>
      </c>
      <c r="E7" s="3">
        <v>60.75</v>
      </c>
      <c r="F7" s="3">
        <v>58.75</v>
      </c>
      <c r="G7" s="3">
        <v>59.34</v>
      </c>
      <c r="H7" s="4">
        <f>AVERAGE(Table1[[#This Row],[Tiempo1]:[Tiempo5]])</f>
        <v>59.236000000000004</v>
      </c>
    </row>
    <row r="8" spans="1:10">
      <c r="A8" s="2">
        <v>0.6</v>
      </c>
      <c r="B8" s="3">
        <f>Table1[[#This Row],[Porcentaje de la muestra]]*100000</f>
        <v>60000</v>
      </c>
      <c r="C8" s="3">
        <v>68.17</v>
      </c>
      <c r="D8" s="3">
        <v>75.63</v>
      </c>
      <c r="E8" s="3">
        <v>75.650000000000006</v>
      </c>
      <c r="F8" s="3">
        <v>77.25</v>
      </c>
      <c r="G8" s="3">
        <v>72.05</v>
      </c>
      <c r="H8" s="4">
        <f>AVERAGE(Table1[[#This Row],[Tiempo1]:[Tiempo5]])</f>
        <v>73.750000000000014</v>
      </c>
    </row>
    <row r="9" spans="1:10">
      <c r="A9" s="2">
        <v>0.7</v>
      </c>
      <c r="B9" s="3">
        <f>Table1[[#This Row],[Porcentaje de la muestra]]*100000</f>
        <v>70000</v>
      </c>
      <c r="C9" s="3">
        <v>79.874399999999994</v>
      </c>
      <c r="D9" s="3">
        <v>78.25</v>
      </c>
      <c r="E9" s="3">
        <v>97.73</v>
      </c>
      <c r="F9" s="3">
        <v>82.09</v>
      </c>
      <c r="G9" s="3">
        <v>75.73</v>
      </c>
      <c r="H9" s="4">
        <f>AVERAGE(Table1[[#This Row],[Tiempo1]:[Tiempo5]])</f>
        <v>82.734880000000004</v>
      </c>
    </row>
    <row r="10" spans="1:10">
      <c r="A10" s="2">
        <v>0.8</v>
      </c>
      <c r="B10" s="3">
        <f>Table1[[#This Row],[Porcentaje de la muestra]]*100000</f>
        <v>80000</v>
      </c>
      <c r="C10" s="3">
        <v>85.88</v>
      </c>
      <c r="D10" s="3">
        <v>85.43</v>
      </c>
      <c r="E10" s="3">
        <v>90.47</v>
      </c>
      <c r="F10" s="3">
        <v>89.81</v>
      </c>
      <c r="G10" s="3">
        <v>88.66</v>
      </c>
      <c r="H10" s="4">
        <f>AVERAGE(Table1[[#This Row],[Tiempo1]:[Tiempo5]])</f>
        <v>88.05</v>
      </c>
    </row>
    <row r="11" spans="1:10">
      <c r="A11" s="2">
        <v>0.9</v>
      </c>
      <c r="B11" s="3">
        <f>Table1[[#This Row],[Porcentaje de la muestra]]*100000</f>
        <v>90000</v>
      </c>
      <c r="C11" s="3">
        <v>99.42</v>
      </c>
      <c r="D11" s="3">
        <v>96.3</v>
      </c>
      <c r="E11" s="3">
        <v>102.96</v>
      </c>
      <c r="F11" s="3">
        <v>99.57</v>
      </c>
      <c r="G11" s="3">
        <v>96.63</v>
      </c>
      <c r="H11" s="4">
        <f>AVERAGE(Table1[[#This Row],[Tiempo1]:[Tiempo5]])</f>
        <v>98.975999999999999</v>
      </c>
    </row>
    <row r="12" spans="1:10">
      <c r="A12" s="2">
        <v>1</v>
      </c>
      <c r="B12" s="3">
        <f>Table1[[#This Row],[Porcentaje de la muestra]]*100000</f>
        <v>100000</v>
      </c>
      <c r="C12" s="3">
        <v>113.18</v>
      </c>
      <c r="D12" s="3">
        <v>111.8</v>
      </c>
      <c r="E12" s="3">
        <v>117.67</v>
      </c>
      <c r="F12" s="3">
        <v>113.05</v>
      </c>
      <c r="G12" s="3">
        <v>109.38</v>
      </c>
      <c r="H12" s="4">
        <f>AVERAGE(Table1[[#This Row],[Tiempo1]:[Tiempo5]])</f>
        <v>113.01600000000001</v>
      </c>
    </row>
    <row r="13" spans="1:10">
      <c r="A13" s="2"/>
      <c r="B13" s="3"/>
      <c r="C13" s="4"/>
      <c r="D13" s="4"/>
      <c r="E13" s="4"/>
      <c r="F13" s="4"/>
      <c r="G13" s="4"/>
      <c r="H13" s="4"/>
    </row>
    <row r="15" spans="1:10" ht="14.25" customHeight="1">
      <c r="C15" s="10" t="s">
        <v>9</v>
      </c>
      <c r="D15" s="10"/>
      <c r="E15" s="10"/>
      <c r="F15" s="10"/>
      <c r="G15" s="10"/>
      <c r="H15" s="10"/>
    </row>
    <row r="16" spans="1:10" s="5" customFormat="1" ht="28">
      <c r="A16" s="4" t="s">
        <v>1</v>
      </c>
      <c r="B16" s="4" t="s">
        <v>2</v>
      </c>
      <c r="C16" s="4" t="s">
        <v>10</v>
      </c>
      <c r="D16" s="4" t="s">
        <v>11</v>
      </c>
      <c r="E16" s="4" t="s">
        <v>12</v>
      </c>
      <c r="F16" s="4" t="s">
        <v>13</v>
      </c>
      <c r="G16" s="4" t="s">
        <v>14</v>
      </c>
      <c r="H16" s="4" t="s">
        <v>15</v>
      </c>
    </row>
    <row r="17" spans="1:8" s="5" customFormat="1" ht="14">
      <c r="A17" s="2">
        <v>0.1</v>
      </c>
      <c r="B17" s="3">
        <f>Table13[[#This Row],[Porcentaje de la muestra]]*100000</f>
        <v>10000</v>
      </c>
      <c r="C17" s="3">
        <v>2.4700000000000002</v>
      </c>
      <c r="D17" s="3">
        <v>2.02</v>
      </c>
      <c r="E17" s="3">
        <v>2.0099999999999998</v>
      </c>
      <c r="F17" s="3">
        <v>2</v>
      </c>
      <c r="G17" s="3">
        <v>1.82</v>
      </c>
      <c r="H17" s="4">
        <f>AVERAGE(Table13[[#This Row],[Tiempo 1]:[Tiempo 5]])</f>
        <v>2.0640000000000001</v>
      </c>
    </row>
    <row r="18" spans="1:8" s="5" customFormat="1" ht="14">
      <c r="A18" s="2">
        <v>0.2</v>
      </c>
      <c r="B18" s="3">
        <f>Table13[[#This Row],[Porcentaje de la muestra]]*100000</f>
        <v>20000</v>
      </c>
      <c r="C18" s="3">
        <v>5.27</v>
      </c>
      <c r="D18" s="3">
        <v>4.83</v>
      </c>
      <c r="E18" s="3">
        <v>4.76</v>
      </c>
      <c r="F18" s="3">
        <v>4.8099999999999996</v>
      </c>
      <c r="G18" s="3">
        <v>5.34</v>
      </c>
      <c r="H18" s="4">
        <f>AVERAGE(Table13[[#This Row],[Tiempo 1]:[Tiempo 5]])</f>
        <v>5.0019999999999998</v>
      </c>
    </row>
    <row r="19" spans="1:8">
      <c r="A19" s="2">
        <v>0.3</v>
      </c>
      <c r="B19" s="3">
        <f>Table13[[#This Row],[Porcentaje de la muestra]]*100000</f>
        <v>30000</v>
      </c>
      <c r="C19" s="3">
        <v>10.95</v>
      </c>
      <c r="D19" s="3">
        <v>12.38</v>
      </c>
      <c r="E19" s="3">
        <v>10.84</v>
      </c>
      <c r="F19" s="3">
        <v>9.5399999999999991</v>
      </c>
      <c r="G19" s="3">
        <v>10.3</v>
      </c>
      <c r="H19" s="4">
        <f>AVERAGE(Table13[[#This Row],[Tiempo 1]:[Tiempo 5]])</f>
        <v>10.802000000000001</v>
      </c>
    </row>
    <row r="20" spans="1:8">
      <c r="A20" s="2">
        <v>0.4</v>
      </c>
      <c r="B20" s="3">
        <f>Table13[[#This Row],[Porcentaje de la muestra]]*100000</f>
        <v>40000</v>
      </c>
      <c r="C20" s="3">
        <v>21.55</v>
      </c>
      <c r="D20" s="3">
        <v>14.92</v>
      </c>
      <c r="E20" s="3">
        <v>18.45</v>
      </c>
      <c r="F20" s="3">
        <v>20.48</v>
      </c>
      <c r="G20" s="3">
        <v>16.440000000000001</v>
      </c>
      <c r="H20" s="4">
        <f>AVERAGE(Table13[[#This Row],[Tiempo 1]:[Tiempo 5]])</f>
        <v>18.368000000000002</v>
      </c>
    </row>
    <row r="21" spans="1:8">
      <c r="A21" s="2">
        <v>0.5</v>
      </c>
      <c r="B21" s="3">
        <f>Table13[[#This Row],[Porcentaje de la muestra]]*100000</f>
        <v>50000</v>
      </c>
      <c r="C21" s="3">
        <v>26.81</v>
      </c>
      <c r="D21" s="3">
        <v>23.64</v>
      </c>
      <c r="E21" s="3">
        <v>27.59</v>
      </c>
      <c r="F21" s="3">
        <v>25.25</v>
      </c>
      <c r="G21" s="3">
        <v>21.63</v>
      </c>
      <c r="H21" s="4">
        <f>AVERAGE(Table13[[#This Row],[Tiempo 1]:[Tiempo 5]])</f>
        <v>24.984000000000002</v>
      </c>
    </row>
    <row r="22" spans="1:8">
      <c r="A22" s="2">
        <v>0.6</v>
      </c>
      <c r="B22" s="3">
        <f>Table13[[#This Row],[Porcentaje de la muestra]]*100000</f>
        <v>60000</v>
      </c>
      <c r="C22" s="3">
        <v>32.450000000000003</v>
      </c>
      <c r="D22" s="3">
        <v>30.85</v>
      </c>
      <c r="E22" s="3">
        <v>30.85</v>
      </c>
      <c r="F22" s="3">
        <v>33.54</v>
      </c>
      <c r="G22" s="3">
        <v>33.75</v>
      </c>
      <c r="H22" s="4">
        <f>AVERAGE(Table13[[#This Row],[Tiempo 1]:[Tiempo 5]])</f>
        <v>32.287999999999997</v>
      </c>
    </row>
    <row r="23" spans="1:8">
      <c r="A23" s="2">
        <v>0.7</v>
      </c>
      <c r="B23" s="3">
        <f>Table13[[#This Row],[Porcentaje de la muestra]]*100000</f>
        <v>70000</v>
      </c>
      <c r="C23" s="3">
        <v>36.07</v>
      </c>
      <c r="D23" s="3">
        <v>38.75</v>
      </c>
      <c r="E23" s="3">
        <v>37.61</v>
      </c>
      <c r="F23" s="3">
        <v>37.770000000000003</v>
      </c>
      <c r="G23" s="3">
        <v>36.26</v>
      </c>
      <c r="H23" s="4">
        <f>AVERAGE(Table13[[#This Row],[Tiempo 1]:[Tiempo 5]])</f>
        <v>37.291999999999994</v>
      </c>
    </row>
    <row r="24" spans="1:8">
      <c r="A24" s="2">
        <v>0.8</v>
      </c>
      <c r="B24" s="3">
        <f>Table13[[#This Row],[Porcentaje de la muestra]]*100000</f>
        <v>80000</v>
      </c>
      <c r="C24" s="3">
        <v>43.16</v>
      </c>
      <c r="D24" s="3">
        <v>45.33</v>
      </c>
      <c r="E24" s="3">
        <v>40.93</v>
      </c>
      <c r="F24" s="3">
        <v>37.58</v>
      </c>
      <c r="G24" s="3">
        <v>41.92</v>
      </c>
      <c r="H24" s="4">
        <f>AVERAGE(Table13[[#This Row],[Tiempo 1]:[Tiempo 5]])</f>
        <v>41.784000000000006</v>
      </c>
    </row>
    <row r="25" spans="1:8">
      <c r="A25" s="2">
        <v>0.9</v>
      </c>
      <c r="B25" s="3">
        <f>Table13[[#This Row],[Porcentaje de la muestra]]*100000</f>
        <v>90000</v>
      </c>
      <c r="C25" s="3">
        <v>42.1</v>
      </c>
      <c r="D25" s="3">
        <v>45.61</v>
      </c>
      <c r="E25" s="3">
        <v>42.34</v>
      </c>
      <c r="F25" s="3">
        <v>43.33</v>
      </c>
      <c r="G25" s="3">
        <v>43.34</v>
      </c>
      <c r="H25" s="4">
        <f>AVERAGE(Table13[[#This Row],[Tiempo 1]:[Tiempo 5]])</f>
        <v>43.344000000000001</v>
      </c>
    </row>
    <row r="26" spans="1:8">
      <c r="A26" s="2">
        <v>1</v>
      </c>
      <c r="B26" s="3">
        <f>Table13[[#This Row],[Porcentaje de la muestra]]*100000</f>
        <v>100000</v>
      </c>
      <c r="C26" s="3">
        <v>47.25</v>
      </c>
      <c r="D26" s="3">
        <v>54.53</v>
      </c>
      <c r="E26" s="3">
        <v>52.36</v>
      </c>
      <c r="F26" s="3">
        <v>46.74</v>
      </c>
      <c r="G26" s="3">
        <v>53.8</v>
      </c>
      <c r="H26" s="4">
        <f>AVERAGE(Table13[[#This Row],[Tiempo 1]:[Tiempo 5]])</f>
        <v>50.936</v>
      </c>
    </row>
  </sheetData>
  <mergeCells count="2">
    <mergeCell ref="C1:H1"/>
    <mergeCell ref="C15:H15"/>
  </mergeCells>
  <phoneticPr fontId="6"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D320-7E14-4249-AED7-A0983CAA46F0}">
  <sheetPr>
    <tabColor theme="4" tint="0.79998168889431442"/>
  </sheetPr>
  <dimension ref="A1:B4"/>
  <sheetViews>
    <sheetView zoomScale="93" workbookViewId="0">
      <selection activeCell="E4" sqref="E4"/>
    </sheetView>
  </sheetViews>
  <sheetFormatPr defaultColWidth="11.453125" defaultRowHeight="14.5"/>
  <cols>
    <col min="1" max="1" width="61.81640625" customWidth="1"/>
    <col min="2" max="2" width="90.453125" customWidth="1"/>
  </cols>
  <sheetData>
    <row r="1" spans="1:2">
      <c r="A1" s="7" t="s">
        <v>16</v>
      </c>
      <c r="B1" s="7" t="s">
        <v>17</v>
      </c>
    </row>
    <row r="2" spans="1:2" ht="152.5" customHeight="1">
      <c r="A2" s="8" t="s">
        <v>18</v>
      </c>
      <c r="B2" s="11" t="s">
        <v>25</v>
      </c>
    </row>
    <row r="3" spans="1:2" ht="110.15" customHeight="1">
      <c r="A3" s="8" t="s">
        <v>19</v>
      </c>
      <c r="B3" s="11" t="s">
        <v>26</v>
      </c>
    </row>
    <row r="4" spans="1:2" ht="110.15" customHeight="1">
      <c r="A4" s="8" t="s">
        <v>20</v>
      </c>
      <c r="B4" s="11"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3858CF01A2EF24688B692775F4C60A4" ma:contentTypeVersion="17" ma:contentTypeDescription="Crear nuevo documento." ma:contentTypeScope="" ma:versionID="39f2afe36700b83939ba6e49cc253596">
  <xsd:schema xmlns:xsd="http://www.w3.org/2001/XMLSchema" xmlns:xs="http://www.w3.org/2001/XMLSchema" xmlns:p="http://schemas.microsoft.com/office/2006/metadata/properties" xmlns:ns2="164883f8-7691-4ecf-b54a-664c0d0edefe" xmlns:ns3="85e30bcc-d76c-4413-8e4d-2dce22fb0743" targetNamespace="http://schemas.microsoft.com/office/2006/metadata/properties" ma:root="true" ma:fieldsID="24098648399639f58895cd89d20500e6" ns2:_="" ns3:_="">
    <xsd:import namespace="164883f8-7691-4ecf-b54a-664c0d0edefe"/>
    <xsd:import namespace="85e30bcc-d76c-4413-8e4d-2dce22fb07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4883f8-7691-4ecf-b54a-664c0d0ede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30bcc-d76c-4413-8e4d-2dce22fb074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6816d37-b675-4589-8225-e6a38877c704}" ma:internalName="TaxCatchAll" ma:showField="CatchAllData" ma:web="85e30bcc-d76c-4413-8e4d-2dce22f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5e30bcc-d76c-4413-8e4d-2dce22fb0743">
      <UserInfo>
        <DisplayName>Carlos Andres Lozano Garzon</DisplayName>
        <AccountId>13</AccountId>
        <AccountType/>
      </UserInfo>
      <UserInfo>
        <DisplayName>Dario Ernesto Correal Torres</DisplayName>
        <AccountId>15</AccountId>
        <AccountType/>
      </UserInfo>
      <UserInfo>
        <DisplayName>Mario  Fernando De la rosa Rosero</DisplayName>
        <AccountId>16</AccountId>
        <AccountType/>
      </UserInfo>
      <UserInfo>
        <DisplayName>Christian Camilo Aparicio Baquen</DisplayName>
        <AccountId>50</AccountId>
        <AccountType/>
      </UserInfo>
      <UserInfo>
        <DisplayName>Arturo Henao Chaparro</DisplayName>
        <AccountId>48</AccountId>
        <AccountType/>
      </UserInfo>
      <UserInfo>
        <DisplayName>Luis Esteban Florez Salamanca</DisplayName>
        <AccountId>33</AccountId>
        <AccountType/>
      </UserInfo>
      <UserInfo>
        <DisplayName>Ivan David Salazar Cardenas</DisplayName>
        <AccountId>52</AccountId>
        <AccountType/>
      </UserInfo>
      <UserInfo>
        <DisplayName>Juan Carlos Marin Morales</DisplayName>
        <AccountId>53</AccountId>
        <AccountType/>
      </UserInfo>
      <UserInfo>
        <DisplayName>Sofia Duque Gomez</DisplayName>
        <AccountId>60</AccountId>
        <AccountType/>
      </UserInfo>
      <UserInfo>
        <DisplayName>Andres Felipe Romero Brand</DisplayName>
        <AccountId>91</AccountId>
        <AccountType/>
      </UserInfo>
      <UserInfo>
        <DisplayName>Lindsay Vanessa Pinto Morato</DisplayName>
        <AccountId>92</AccountId>
        <AccountType/>
      </UserInfo>
      <UserInfo>
        <DisplayName>Miguel Angel Acosta Walteros</DisplayName>
        <AccountId>94</AccountId>
        <AccountType/>
      </UserInfo>
      <UserInfo>
        <DisplayName>Juan David Diaz Ipuz</DisplayName>
        <AccountId>90</AccountId>
        <AccountType/>
      </UserInfo>
      <UserInfo>
        <DisplayName>Lily Aitana valentina Duque Chavez</DisplayName>
        <AccountId>17</AccountId>
        <AccountType/>
      </UserInfo>
      <UserInfo>
        <DisplayName>Isaac David Bermudez Lara</DisplayName>
        <AccountId>95</AccountId>
        <AccountType/>
      </UserInfo>
      <UserInfo>
        <DisplayName>Daniel Alejandro Angel Fuertes</DisplayName>
        <AccountId>55</AccountId>
        <AccountType/>
      </UserInfo>
      <UserInfo>
        <DisplayName>Jeniffer Liliam Mendoza Espinosa</DisplayName>
        <AccountId>97</AccountId>
        <AccountType/>
      </UserInfo>
      <UserInfo>
        <DisplayName>Kevin Cohen Solano</DisplayName>
        <AccountId>93</AccountId>
        <AccountType/>
      </UserInfo>
      <UserInfo>
        <DisplayName>Cesar Luis Moreno Gonzalez</DisplayName>
        <AccountId>96</AccountId>
        <AccountType/>
      </UserInfo>
      <UserInfo>
        <DisplayName>Jose Cristobal Arroyo Castellanos</DisplayName>
        <AccountId>54</AccountId>
        <AccountType/>
      </UserInfo>
    </SharedWithUsers>
    <TaxCatchAll xmlns="85e30bcc-d76c-4413-8e4d-2dce22fb0743" xsi:nil="true"/>
    <lcf76f155ced4ddcb4097134ff3c332f xmlns="164883f8-7691-4ecf-b54a-664c0d0ede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F3742-38F2-4B99-B335-CC4F04ED9F45}">
  <ds:schemaRefs>
    <ds:schemaRef ds:uri="http://schemas.microsoft.com/sharepoint/v3/contenttype/forms"/>
  </ds:schemaRefs>
</ds:datastoreItem>
</file>

<file path=customXml/itemProps2.xml><?xml version="1.0" encoding="utf-8"?>
<ds:datastoreItem xmlns:ds="http://schemas.openxmlformats.org/officeDocument/2006/customXml" ds:itemID="{5782CBBC-05AF-4A6B-A1AF-29EFB37A75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4883f8-7691-4ecf-b54a-664c0d0edefe"/>
    <ds:schemaRef ds:uri="85e30bcc-d76c-4413-8e4d-2dce22f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C5E1E0-C817-4769-9D2D-1DC296B681FA}">
  <ds:schemaRefs>
    <ds:schemaRef ds:uri="http://schemas.microsoft.com/office/2006/metadata/properties"/>
    <ds:schemaRef ds:uri="http://schemas.microsoft.com/office/infopath/2007/PartnerControls"/>
    <ds:schemaRef ds:uri="85e30bcc-d76c-4413-8e4d-2dce22fb0743"/>
    <ds:schemaRef ds:uri="164883f8-7691-4ecf-b54a-664c0d0ede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01-Data Req. 4</vt:lpstr>
      <vt:lpstr>03-Análisis Req. 4</vt:lpstr>
      <vt:lpstr>02-Gráfica Req.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Jeronimo Gomez Sarmiento</cp:lastModifiedBy>
  <cp:revision/>
  <dcterms:created xsi:type="dcterms:W3CDTF">2021-02-18T03:17:26Z</dcterms:created>
  <dcterms:modified xsi:type="dcterms:W3CDTF">2026-04-08T18:09:28Z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0x01010023858CF01A2EF24688B692775F4C60A4</vt:lpwstr>
  </property>
  <property fmtid="{D5CDD505-2E9C-101B-9397-08002B2CF9AE}" pid="3" name="MediaServiceImageTags">
    <vt:lpwstr/>
  </property>
</Properties>
</file>